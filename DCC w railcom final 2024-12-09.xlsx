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julia\Documents\Arduino\DCC_ESP_Controller_wRailcom\"/>
    </mc:Choice>
  </mc:AlternateContent>
  <xr:revisionPtr revIDLastSave="0" documentId="13_ncr:1_{7B22ABD0-4DB3-4413-81F2-7AE138BDBA7E}" xr6:coauthVersionLast="47" xr6:coauthVersionMax="47" xr10:uidLastSave="{00000000-0000-0000-0000-000000000000}"/>
  <bookViews>
    <workbookView xWindow="-108" yWindow="-108" windowWidth="23256" windowHeight="12456" activeTab="4" xr2:uid="{00000000-000D-0000-FFFF-FFFF00000000}"/>
  </bookViews>
  <sheets>
    <sheet name="Red PCB" sheetId="1" r:id="rId1"/>
    <sheet name="Blue PCB free" sheetId="2" r:id="rId2"/>
    <sheet name="Blue PCB built" sheetId="3" r:id="rId3"/>
    <sheet name="LM393" sheetId="4" r:id="rId4"/>
    <sheet name="Sheet1"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8" i="2" l="1"/>
  <c r="M157" i="2"/>
  <c r="T117" i="2"/>
  <c r="R117" i="2"/>
  <c r="T115" i="2"/>
  <c r="P113" i="2"/>
  <c r="R101" i="2"/>
  <c r="V54" i="2"/>
  <c r="V47" i="2"/>
  <c r="R54" i="2"/>
  <c r="R47" i="2"/>
  <c r="G15" i="1"/>
  <c r="B15" i="1"/>
</calcChain>
</file>

<file path=xl/sharedStrings.xml><?xml version="1.0" encoding="utf-8"?>
<sst xmlns="http://schemas.openxmlformats.org/spreadsheetml/2006/main" count="106" uniqueCount="104">
  <si>
    <t>Red PCB, this is rev 3</t>
  </si>
  <si>
    <t>This board has the railcom detector referenced to system ground.  Means it should work with an off board IBT2 or LMD</t>
  </si>
  <si>
    <t>which both have FET drivers and a very low voltage offset, but it will not work with an L298 bipolar device as this has an offset of 1.2v</t>
  </si>
  <si>
    <t>There may be some variation between LMD18200 devices, so the value of R5 in particular may require some experimentation.</t>
  </si>
  <si>
    <t>I found that the off-board LMD had a bigger offset than the on-board one.</t>
  </si>
  <si>
    <t>On my working prototype I have used the following resistors, and measure the following reference voltages</t>
  </si>
  <si>
    <t>R7</t>
  </si>
  <si>
    <t>R5</t>
  </si>
  <si>
    <t>R8</t>
  </si>
  <si>
    <t>R6</t>
  </si>
  <si>
    <t>Am using a red LED</t>
  </si>
  <si>
    <t>supply</t>
  </si>
  <si>
    <t>ref</t>
  </si>
  <si>
    <t>21mV actual</t>
  </si>
  <si>
    <t>42mV actual</t>
  </si>
  <si>
    <t>how is this one so far off?</t>
  </si>
  <si>
    <t>The load and no load output of the comparators looks like this</t>
  </si>
  <si>
    <t>valid data appears about 70uS into the 450us cutout</t>
  </si>
  <si>
    <t>with a load, the comparator no longer</t>
  </si>
  <si>
    <t xml:space="preserve">tracks the DCC signal and it also goes not generate </t>
  </si>
  <si>
    <t>spikes on transition (see blue pcb)</t>
  </si>
  <si>
    <t>Blue PCB but built as a free standing detector</t>
  </si>
  <si>
    <t>This is put in series with the red-pcb outputs</t>
  </si>
  <si>
    <t>With a  load, there is less noise</t>
  </si>
  <si>
    <t>and we get a valid read</t>
  </si>
  <si>
    <t>without a load, there is a lot of noise</t>
  </si>
  <si>
    <t>outside of the cutout itself</t>
  </si>
  <si>
    <t>we do still get a valid read.</t>
  </si>
  <si>
    <t>JUMPERING the blue output to the red input</t>
  </si>
  <si>
    <t>with no load, there is a lot of noise</t>
  </si>
  <si>
    <t>on the low parts of the DCC signal and</t>
  </si>
  <si>
    <t>we do not get a reliable read</t>
  </si>
  <si>
    <t>with a load, the noise goes away</t>
  </si>
  <si>
    <t>and we get a reliable read</t>
  </si>
  <si>
    <t>Eratta: put a 0.01uF cap across the 78L05 input/gnd as too much supply noise was breaking through.</t>
  </si>
  <si>
    <t>Built up Blue PCB with various external H bridges.</t>
  </si>
  <si>
    <t>note that we can gate the RC-sync signal into the 6N317 to ensure we only pass through data seen during the RC cutout.</t>
  </si>
  <si>
    <t>this will cut out a lot of junk data being passed to the serial circuit.</t>
  </si>
  <si>
    <t>We can also possibly still dual purpose this pin for an eStop button.  You coud pull it low for eStop, and we'd only read for that condition during an RC cutout</t>
  </si>
  <si>
    <t xml:space="preserve">i.e. pin is active low normally, goes active high during the cutout (but we could instead allow this as a pullup) and then read that pin during the cutout as it will </t>
  </si>
  <si>
    <t>read low if estop pressed.</t>
  </si>
  <si>
    <t>why the noise? If there truly is no-load during the cutout</t>
  </si>
  <si>
    <t>then the comparator input voltages are below threshold, neither comparator</t>
  </si>
  <si>
    <t>asserts a low.</t>
  </si>
  <si>
    <t>during the power-phase, the fact we see a high signal means both comparators</t>
  </si>
  <si>
    <t>are below threshold. And then during the next half bit we see noise, so at least one</t>
  </si>
  <si>
    <t>comparator is near threshold and is oscillating.</t>
  </si>
  <si>
    <t>comparator output 2, pin 7 is the noisey one</t>
  </si>
  <si>
    <t>R7 / R8 is showing 14.5mV ref</t>
  </si>
  <si>
    <t>is lower than theory</t>
  </si>
  <si>
    <t>so maybe its too close to the floor hence the noise..</t>
  </si>
  <si>
    <t>adding a 270k feedback resistor does nowt</t>
  </si>
  <si>
    <t>v</t>
  </si>
  <si>
    <t>r7</t>
  </si>
  <si>
    <t>r8</t>
  </si>
  <si>
    <t>mV</t>
  </si>
  <si>
    <t>error ratio</t>
  </si>
  <si>
    <t>Comparator 2 noise.</t>
  </si>
  <si>
    <t>Increase R8 to 1k</t>
  </si>
  <si>
    <t>in theory it should be 32, but seems to be low.</t>
  </si>
  <si>
    <t>why?</t>
  </si>
  <si>
    <t>with load</t>
  </si>
  <si>
    <t>which is what you expect</t>
  </si>
  <si>
    <t>I am thinking that R4, the rectifier is physically close to R8</t>
  </si>
  <si>
    <t>and coupling noise into it.</t>
  </si>
  <si>
    <t>our ref voltage is now 25mv</t>
  </si>
  <si>
    <t>So it seems IN2+ (pin 9) actually puts a load on the reference voltage.</t>
  </si>
  <si>
    <t>pulling the value down to 25mV compared to its open circuit value.</t>
  </si>
  <si>
    <t>The IN1- does not do the same, the -19mV line is stable with or without the comparator in place.</t>
  </si>
  <si>
    <t>So pin 9, we drop 10mV when the divider is hooked into this pin.</t>
  </si>
  <si>
    <t>why? The inputs are supposed draw just 1uA.</t>
  </si>
  <si>
    <t xml:space="preserve">it turns the 1k into </t>
  </si>
  <si>
    <t xml:space="preserve">so equiv input impedence is </t>
  </si>
  <si>
    <t>that makes zero sense to me, unless it is oscillating?</t>
  </si>
  <si>
    <t xml:space="preserve">input current is </t>
  </si>
  <si>
    <t>mA</t>
  </si>
  <si>
    <t>uA</t>
  </si>
  <si>
    <t>So lets assume the input really is trying to draw too much an instead go with a 33k instead of a 150k</t>
  </si>
  <si>
    <t>mv</t>
  </si>
  <si>
    <t>VERY ODD</t>
  </si>
  <si>
    <t>for the red board, the comparator does not appear to load the reference voltages, i.e. they are the same whether comparator is in or out of circuit.</t>
  </si>
  <si>
    <t>for the blue board, the neg ref is fine, but the positive ref drops 10mV when the comparator is plugged in.  Why?</t>
  </si>
  <si>
    <t>Both use dual rails.</t>
  </si>
  <si>
    <t>No load with LM393 directly driving the IR LED via existing res</t>
  </si>
  <si>
    <t>decodes AC A3 correctly</t>
  </si>
  <si>
    <t>with a load, also correctly decodes</t>
  </si>
  <si>
    <t>so the issue is the LM319 is more prone to oscillation</t>
  </si>
  <si>
    <t>the 393 is fast enough to decode</t>
  </si>
  <si>
    <t>output is post opto, logic output</t>
  </si>
  <si>
    <t>with load, voltages are</t>
  </si>
  <si>
    <t>5v</t>
  </si>
  <si>
    <t>neg 1.6v</t>
  </si>
  <si>
    <t>22mv</t>
  </si>
  <si>
    <t>-18mv</t>
  </si>
  <si>
    <t>with no load</t>
  </si>
  <si>
    <t>neg 1.9</t>
  </si>
  <si>
    <t>-19.9mV</t>
  </si>
  <si>
    <t>22mV</t>
  </si>
  <si>
    <t>There's actually more noise on the output side of the opto when we use the LM317</t>
  </si>
  <si>
    <t>This circuit is a DCC (model rail) controller combined with a Railcom detector circuit.</t>
  </si>
  <si>
    <t>The reference circuit for the detector is published by the NRMA under document S-9.3.2.  this circuit uses an LM393.  However, the LM393 would be at its limit as it needs to decode 250kbs serial and its response time is 1uS+  </t>
  </si>
  <si>
    <t>For this reason I reworked the detector using an LM319 which is a faster comparator and it also allows you to split the supply rails and reference its output to a floating ground (OUT2 in the schematic).  Additionally this means the output stage (open collector) will be driving the opto LED to ground from the 5v supply and not impact the -ve supply which is based around a halfwave rectifier, cap and yellow LED to give a 2v reference.</t>
  </si>
  <si>
    <t>In practice, with no load on the model rail track (i.e. less than say 50mV) the LM319 oscillates on the comparator 2 side (i.e the side with the +ve voltage reference).  The comparator 1 side with negative voltage ref behaves.   I cannot figure out why.   After a lot of experimenting, I resorted to rigging up an LM393 on a DIL8 chip header and this plugs into pins 4-7 and 8-11 of the LM319 socket.  The LM393 is stable and actually out performs the LM317.  This is counter intuitive, but perhaps the 317 is more susceptable to oscillation?   Looking for some suggestions from the forum.  The other odd behaviour is the LM317 is supposed to have an input bias of 1uA, but in practice the IN2+ seems to be drawing 6uA and pulling down the +ve reference voltage 10mV. I think this is probably due to the oscillations, but its odd never the less.</t>
  </si>
  <si>
    <t>The whole is built on custom PCB, all chips are decoupled, as are supplies.  There is some breakthrough of the underlying DCC signal on the supply lines, however this is true for both the 317 and 393 so why is it the supposedly inferior 393 device behaves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</si>
</sst>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quotePrefix="1"/>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20</xdr:row>
      <xdr:rowOff>7621</xdr:rowOff>
    </xdr:from>
    <xdr:to>
      <xdr:col>12</xdr:col>
      <xdr:colOff>232985</xdr:colOff>
      <xdr:row>40</xdr:row>
      <xdr:rowOff>60961</xdr:rowOff>
    </xdr:to>
    <xdr:pic>
      <xdr:nvPicPr>
        <xdr:cNvPr id="2" name="Picture 1">
          <a:extLst>
            <a:ext uri="{FF2B5EF4-FFF2-40B4-BE49-F238E27FC236}">
              <a16:creationId xmlns:a16="http://schemas.microsoft.com/office/drawing/2014/main" id="{FF623D28-2AE4-C084-37A1-FA2F5CA9E2F7}"/>
            </a:ext>
          </a:extLst>
        </xdr:cNvPr>
        <xdr:cNvPicPr>
          <a:picLocks noChangeAspect="1"/>
        </xdr:cNvPicPr>
      </xdr:nvPicPr>
      <xdr:blipFill>
        <a:blip xmlns:r="http://schemas.openxmlformats.org/officeDocument/2006/relationships" r:embed="rId1"/>
        <a:stretch>
          <a:fillRect/>
        </a:stretch>
      </xdr:blipFill>
      <xdr:spPr>
        <a:xfrm>
          <a:off x="1" y="3665221"/>
          <a:ext cx="7548184" cy="3710940"/>
        </a:xfrm>
        <a:prstGeom prst="rect">
          <a:avLst/>
        </a:prstGeom>
      </xdr:spPr>
    </xdr:pic>
    <xdr:clientData/>
  </xdr:twoCellAnchor>
  <xdr:twoCellAnchor editAs="oneCell">
    <xdr:from>
      <xdr:col>0</xdr:col>
      <xdr:colOff>0</xdr:colOff>
      <xdr:row>41</xdr:row>
      <xdr:rowOff>152400</xdr:rowOff>
    </xdr:from>
    <xdr:to>
      <xdr:col>13</xdr:col>
      <xdr:colOff>16389</xdr:colOff>
      <xdr:row>61</xdr:row>
      <xdr:rowOff>106680</xdr:rowOff>
    </xdr:to>
    <xdr:pic>
      <xdr:nvPicPr>
        <xdr:cNvPr id="3" name="Picture 2">
          <a:extLst>
            <a:ext uri="{FF2B5EF4-FFF2-40B4-BE49-F238E27FC236}">
              <a16:creationId xmlns:a16="http://schemas.microsoft.com/office/drawing/2014/main" id="{097DAFA6-0B41-181F-EEAC-F2D236E85C36}"/>
            </a:ext>
          </a:extLst>
        </xdr:cNvPr>
        <xdr:cNvPicPr>
          <a:picLocks noChangeAspect="1"/>
        </xdr:cNvPicPr>
      </xdr:nvPicPr>
      <xdr:blipFill>
        <a:blip xmlns:r="http://schemas.openxmlformats.org/officeDocument/2006/relationships" r:embed="rId2"/>
        <a:stretch>
          <a:fillRect/>
        </a:stretch>
      </xdr:blipFill>
      <xdr:spPr>
        <a:xfrm>
          <a:off x="0" y="7650480"/>
          <a:ext cx="7941189" cy="3611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14</xdr:col>
      <xdr:colOff>496475</xdr:colOff>
      <xdr:row>33</xdr:row>
      <xdr:rowOff>103548</xdr:rowOff>
    </xdr:to>
    <xdr:pic>
      <xdr:nvPicPr>
        <xdr:cNvPr id="2" name="Picture 1">
          <a:extLst>
            <a:ext uri="{FF2B5EF4-FFF2-40B4-BE49-F238E27FC236}">
              <a16:creationId xmlns:a16="http://schemas.microsoft.com/office/drawing/2014/main" id="{88B8BD77-55E1-B057-7FBF-5304680B9E59}"/>
            </a:ext>
          </a:extLst>
        </xdr:cNvPr>
        <xdr:cNvPicPr>
          <a:picLocks noChangeAspect="1"/>
        </xdr:cNvPicPr>
      </xdr:nvPicPr>
      <xdr:blipFill>
        <a:blip xmlns:r="http://schemas.openxmlformats.org/officeDocument/2006/relationships" r:embed="rId1"/>
        <a:stretch>
          <a:fillRect/>
        </a:stretch>
      </xdr:blipFill>
      <xdr:spPr>
        <a:xfrm>
          <a:off x="609600" y="731520"/>
          <a:ext cx="8421275" cy="4858428"/>
        </a:xfrm>
        <a:prstGeom prst="rect">
          <a:avLst/>
        </a:prstGeom>
      </xdr:spPr>
    </xdr:pic>
    <xdr:clientData/>
  </xdr:twoCellAnchor>
  <xdr:twoCellAnchor editAs="oneCell">
    <xdr:from>
      <xdr:col>0</xdr:col>
      <xdr:colOff>0</xdr:colOff>
      <xdr:row>36</xdr:row>
      <xdr:rowOff>0</xdr:rowOff>
    </xdr:from>
    <xdr:to>
      <xdr:col>13</xdr:col>
      <xdr:colOff>467896</xdr:colOff>
      <xdr:row>56</xdr:row>
      <xdr:rowOff>124353</xdr:rowOff>
    </xdr:to>
    <xdr:pic>
      <xdr:nvPicPr>
        <xdr:cNvPr id="3" name="Picture 2">
          <a:extLst>
            <a:ext uri="{FF2B5EF4-FFF2-40B4-BE49-F238E27FC236}">
              <a16:creationId xmlns:a16="http://schemas.microsoft.com/office/drawing/2014/main" id="{72737DF7-6366-06AD-9A78-1CDF0F498066}"/>
            </a:ext>
          </a:extLst>
        </xdr:cNvPr>
        <xdr:cNvPicPr>
          <a:picLocks noChangeAspect="1"/>
        </xdr:cNvPicPr>
      </xdr:nvPicPr>
      <xdr:blipFill>
        <a:blip xmlns:r="http://schemas.openxmlformats.org/officeDocument/2006/relationships" r:embed="rId2"/>
        <a:stretch>
          <a:fillRect/>
        </a:stretch>
      </xdr:blipFill>
      <xdr:spPr>
        <a:xfrm>
          <a:off x="0" y="6035040"/>
          <a:ext cx="8392696" cy="3781953"/>
        </a:xfrm>
        <a:prstGeom prst="rect">
          <a:avLst/>
        </a:prstGeom>
      </xdr:spPr>
    </xdr:pic>
    <xdr:clientData/>
  </xdr:twoCellAnchor>
  <xdr:twoCellAnchor editAs="oneCell">
    <xdr:from>
      <xdr:col>0</xdr:col>
      <xdr:colOff>0</xdr:colOff>
      <xdr:row>61</xdr:row>
      <xdr:rowOff>0</xdr:rowOff>
    </xdr:from>
    <xdr:to>
      <xdr:col>13</xdr:col>
      <xdr:colOff>201159</xdr:colOff>
      <xdr:row>76</xdr:row>
      <xdr:rowOff>181383</xdr:rowOff>
    </xdr:to>
    <xdr:pic>
      <xdr:nvPicPr>
        <xdr:cNvPr id="4" name="Picture 3">
          <a:extLst>
            <a:ext uri="{FF2B5EF4-FFF2-40B4-BE49-F238E27FC236}">
              <a16:creationId xmlns:a16="http://schemas.microsoft.com/office/drawing/2014/main" id="{5F0B8C9F-27C1-9EF1-CBFB-C73AFC3EE95F}"/>
            </a:ext>
          </a:extLst>
        </xdr:cNvPr>
        <xdr:cNvPicPr>
          <a:picLocks noChangeAspect="1"/>
        </xdr:cNvPicPr>
      </xdr:nvPicPr>
      <xdr:blipFill>
        <a:blip xmlns:r="http://schemas.openxmlformats.org/officeDocument/2006/relationships" r:embed="rId3"/>
        <a:stretch>
          <a:fillRect/>
        </a:stretch>
      </xdr:blipFill>
      <xdr:spPr>
        <a:xfrm>
          <a:off x="0" y="10607040"/>
          <a:ext cx="8125959" cy="2924583"/>
        </a:xfrm>
        <a:prstGeom prst="rect">
          <a:avLst/>
        </a:prstGeom>
      </xdr:spPr>
    </xdr:pic>
    <xdr:clientData/>
  </xdr:twoCellAnchor>
  <xdr:twoCellAnchor editAs="oneCell">
    <xdr:from>
      <xdr:col>0</xdr:col>
      <xdr:colOff>0</xdr:colOff>
      <xdr:row>79</xdr:row>
      <xdr:rowOff>1</xdr:rowOff>
    </xdr:from>
    <xdr:to>
      <xdr:col>14</xdr:col>
      <xdr:colOff>543516</xdr:colOff>
      <xdr:row>94</xdr:row>
      <xdr:rowOff>15241</xdr:rowOff>
    </xdr:to>
    <xdr:pic>
      <xdr:nvPicPr>
        <xdr:cNvPr id="5" name="Picture 4">
          <a:extLst>
            <a:ext uri="{FF2B5EF4-FFF2-40B4-BE49-F238E27FC236}">
              <a16:creationId xmlns:a16="http://schemas.microsoft.com/office/drawing/2014/main" id="{86BB76FC-60CB-4DB6-7D2D-EE40F54795F6}"/>
            </a:ext>
          </a:extLst>
        </xdr:cNvPr>
        <xdr:cNvPicPr>
          <a:picLocks noChangeAspect="1"/>
        </xdr:cNvPicPr>
      </xdr:nvPicPr>
      <xdr:blipFill>
        <a:blip xmlns:r="http://schemas.openxmlformats.org/officeDocument/2006/relationships" r:embed="rId4"/>
        <a:stretch>
          <a:fillRect/>
        </a:stretch>
      </xdr:blipFill>
      <xdr:spPr>
        <a:xfrm>
          <a:off x="0" y="13898881"/>
          <a:ext cx="9077916" cy="2758440"/>
        </a:xfrm>
        <a:prstGeom prst="rect">
          <a:avLst/>
        </a:prstGeom>
      </xdr:spPr>
    </xdr:pic>
    <xdr:clientData/>
  </xdr:twoCellAnchor>
  <xdr:twoCellAnchor editAs="oneCell">
    <xdr:from>
      <xdr:col>0</xdr:col>
      <xdr:colOff>0</xdr:colOff>
      <xdr:row>99</xdr:row>
      <xdr:rowOff>0</xdr:rowOff>
    </xdr:from>
    <xdr:to>
      <xdr:col>12</xdr:col>
      <xdr:colOff>115337</xdr:colOff>
      <xdr:row>124</xdr:row>
      <xdr:rowOff>105428</xdr:rowOff>
    </xdr:to>
    <xdr:pic>
      <xdr:nvPicPr>
        <xdr:cNvPr id="6" name="Picture 5">
          <a:extLst>
            <a:ext uri="{FF2B5EF4-FFF2-40B4-BE49-F238E27FC236}">
              <a16:creationId xmlns:a16="http://schemas.microsoft.com/office/drawing/2014/main" id="{80A0BF7D-F0BC-E620-16CE-DD5AAE69A275}"/>
            </a:ext>
          </a:extLst>
        </xdr:cNvPr>
        <xdr:cNvPicPr>
          <a:picLocks noChangeAspect="1"/>
        </xdr:cNvPicPr>
      </xdr:nvPicPr>
      <xdr:blipFill>
        <a:blip xmlns:r="http://schemas.openxmlformats.org/officeDocument/2006/relationships" r:embed="rId5"/>
        <a:stretch>
          <a:fillRect/>
        </a:stretch>
      </xdr:blipFill>
      <xdr:spPr>
        <a:xfrm>
          <a:off x="0" y="18105120"/>
          <a:ext cx="7430537" cy="4677428"/>
        </a:xfrm>
        <a:prstGeom prst="rect">
          <a:avLst/>
        </a:prstGeom>
      </xdr:spPr>
    </xdr:pic>
    <xdr:clientData/>
  </xdr:twoCellAnchor>
  <xdr:twoCellAnchor editAs="oneCell">
    <xdr:from>
      <xdr:col>0</xdr:col>
      <xdr:colOff>0</xdr:colOff>
      <xdr:row>127</xdr:row>
      <xdr:rowOff>0</xdr:rowOff>
    </xdr:from>
    <xdr:to>
      <xdr:col>13</xdr:col>
      <xdr:colOff>286896</xdr:colOff>
      <xdr:row>150</xdr:row>
      <xdr:rowOff>99661</xdr:rowOff>
    </xdr:to>
    <xdr:pic>
      <xdr:nvPicPr>
        <xdr:cNvPr id="7" name="Picture 6">
          <a:extLst>
            <a:ext uri="{FF2B5EF4-FFF2-40B4-BE49-F238E27FC236}">
              <a16:creationId xmlns:a16="http://schemas.microsoft.com/office/drawing/2014/main" id="{37FF9738-C2D2-B85F-CA68-E4866DEE1C76}"/>
            </a:ext>
          </a:extLst>
        </xdr:cNvPr>
        <xdr:cNvPicPr>
          <a:picLocks noChangeAspect="1"/>
        </xdr:cNvPicPr>
      </xdr:nvPicPr>
      <xdr:blipFill>
        <a:blip xmlns:r="http://schemas.openxmlformats.org/officeDocument/2006/relationships" r:embed="rId6"/>
        <a:stretch>
          <a:fillRect/>
        </a:stretch>
      </xdr:blipFill>
      <xdr:spPr>
        <a:xfrm>
          <a:off x="0" y="23225760"/>
          <a:ext cx="8211696" cy="43059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12</xdr:col>
      <xdr:colOff>457200</xdr:colOff>
      <xdr:row>22</xdr:row>
      <xdr:rowOff>17683</xdr:rowOff>
    </xdr:to>
    <xdr:pic>
      <xdr:nvPicPr>
        <xdr:cNvPr id="2" name="Picture 1">
          <a:extLst>
            <a:ext uri="{FF2B5EF4-FFF2-40B4-BE49-F238E27FC236}">
              <a16:creationId xmlns:a16="http://schemas.microsoft.com/office/drawing/2014/main" id="{2846F368-1F95-B198-03C7-3905BCDB57A0}"/>
            </a:ext>
          </a:extLst>
        </xdr:cNvPr>
        <xdr:cNvPicPr>
          <a:picLocks noChangeAspect="1"/>
        </xdr:cNvPicPr>
      </xdr:nvPicPr>
      <xdr:blipFill>
        <a:blip xmlns:r="http://schemas.openxmlformats.org/officeDocument/2006/relationships" r:embed="rId1"/>
        <a:stretch>
          <a:fillRect/>
        </a:stretch>
      </xdr:blipFill>
      <xdr:spPr>
        <a:xfrm>
          <a:off x="609600" y="182880"/>
          <a:ext cx="7162800" cy="3858163"/>
        </a:xfrm>
        <a:prstGeom prst="rect">
          <a:avLst/>
        </a:prstGeom>
      </xdr:spPr>
    </xdr:pic>
    <xdr:clientData/>
  </xdr:twoCellAnchor>
  <xdr:twoCellAnchor editAs="oneCell">
    <xdr:from>
      <xdr:col>1</xdr:col>
      <xdr:colOff>1</xdr:colOff>
      <xdr:row>25</xdr:row>
      <xdr:rowOff>0</xdr:rowOff>
    </xdr:from>
    <xdr:to>
      <xdr:col>13</xdr:col>
      <xdr:colOff>426721</xdr:colOff>
      <xdr:row>45</xdr:row>
      <xdr:rowOff>48142</xdr:rowOff>
    </xdr:to>
    <xdr:pic>
      <xdr:nvPicPr>
        <xdr:cNvPr id="3" name="Picture 2">
          <a:extLst>
            <a:ext uri="{FF2B5EF4-FFF2-40B4-BE49-F238E27FC236}">
              <a16:creationId xmlns:a16="http://schemas.microsoft.com/office/drawing/2014/main" id="{1B090194-FAF5-525C-1698-96206EF289D3}"/>
            </a:ext>
          </a:extLst>
        </xdr:cNvPr>
        <xdr:cNvPicPr>
          <a:picLocks noChangeAspect="1"/>
        </xdr:cNvPicPr>
      </xdr:nvPicPr>
      <xdr:blipFill>
        <a:blip xmlns:r="http://schemas.openxmlformats.org/officeDocument/2006/relationships" r:embed="rId2"/>
        <a:stretch>
          <a:fillRect/>
        </a:stretch>
      </xdr:blipFill>
      <xdr:spPr>
        <a:xfrm>
          <a:off x="609601" y="4572000"/>
          <a:ext cx="7741920" cy="3705742"/>
        </a:xfrm>
        <a:prstGeom prst="rect">
          <a:avLst/>
        </a:prstGeom>
      </xdr:spPr>
    </xdr:pic>
    <xdr:clientData/>
  </xdr:twoCellAnchor>
  <xdr:twoCellAnchor editAs="oneCell">
    <xdr:from>
      <xdr:col>1</xdr:col>
      <xdr:colOff>0</xdr:colOff>
      <xdr:row>71</xdr:row>
      <xdr:rowOff>0</xdr:rowOff>
    </xdr:from>
    <xdr:to>
      <xdr:col>19</xdr:col>
      <xdr:colOff>125374</xdr:colOff>
      <xdr:row>91</xdr:row>
      <xdr:rowOff>76721</xdr:rowOff>
    </xdr:to>
    <xdr:pic>
      <xdr:nvPicPr>
        <xdr:cNvPr id="5" name="Picture 4">
          <a:extLst>
            <a:ext uri="{FF2B5EF4-FFF2-40B4-BE49-F238E27FC236}">
              <a16:creationId xmlns:a16="http://schemas.microsoft.com/office/drawing/2014/main" id="{FE7DDFF9-6562-F978-D962-08311EC92198}"/>
            </a:ext>
          </a:extLst>
        </xdr:cNvPr>
        <xdr:cNvPicPr>
          <a:picLocks noChangeAspect="1"/>
        </xdr:cNvPicPr>
      </xdr:nvPicPr>
      <xdr:blipFill>
        <a:blip xmlns:r="http://schemas.openxmlformats.org/officeDocument/2006/relationships" r:embed="rId3"/>
        <a:stretch>
          <a:fillRect/>
        </a:stretch>
      </xdr:blipFill>
      <xdr:spPr>
        <a:xfrm>
          <a:off x="609600" y="12984480"/>
          <a:ext cx="11098174" cy="3734321"/>
        </a:xfrm>
        <a:prstGeom prst="rect">
          <a:avLst/>
        </a:prstGeom>
      </xdr:spPr>
    </xdr:pic>
    <xdr:clientData/>
  </xdr:twoCellAnchor>
  <xdr:twoCellAnchor editAs="oneCell">
    <xdr:from>
      <xdr:col>0</xdr:col>
      <xdr:colOff>0</xdr:colOff>
      <xdr:row>46</xdr:row>
      <xdr:rowOff>0</xdr:rowOff>
    </xdr:from>
    <xdr:to>
      <xdr:col>18</xdr:col>
      <xdr:colOff>30111</xdr:colOff>
      <xdr:row>67</xdr:row>
      <xdr:rowOff>74841</xdr:rowOff>
    </xdr:to>
    <xdr:pic>
      <xdr:nvPicPr>
        <xdr:cNvPr id="6" name="Picture 5">
          <a:extLst>
            <a:ext uri="{FF2B5EF4-FFF2-40B4-BE49-F238E27FC236}">
              <a16:creationId xmlns:a16="http://schemas.microsoft.com/office/drawing/2014/main" id="{AD1F492F-8965-3019-B168-883B91977D57}"/>
            </a:ext>
          </a:extLst>
        </xdr:cNvPr>
        <xdr:cNvPicPr>
          <a:picLocks noChangeAspect="1"/>
        </xdr:cNvPicPr>
      </xdr:nvPicPr>
      <xdr:blipFill>
        <a:blip xmlns:r="http://schemas.openxmlformats.org/officeDocument/2006/relationships" r:embed="rId4"/>
        <a:stretch>
          <a:fillRect/>
        </a:stretch>
      </xdr:blipFill>
      <xdr:spPr>
        <a:xfrm>
          <a:off x="0" y="8412480"/>
          <a:ext cx="11002911" cy="39153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9"/>
  <sheetViews>
    <sheetView topLeftCell="A54" workbookViewId="0">
      <selection activeCell="A69" sqref="A69"/>
    </sheetView>
  </sheetViews>
  <sheetFormatPr defaultRowHeight="14.4" x14ac:dyDescent="0.3"/>
  <sheetData>
    <row r="1" spans="1:9" x14ac:dyDescent="0.3">
      <c r="A1" t="s">
        <v>0</v>
      </c>
    </row>
    <row r="3" spans="1:9" x14ac:dyDescent="0.3">
      <c r="A3" t="s">
        <v>1</v>
      </c>
    </row>
    <row r="4" spans="1:9" x14ac:dyDescent="0.3">
      <c r="A4" t="s">
        <v>2</v>
      </c>
    </row>
    <row r="6" spans="1:9" x14ac:dyDescent="0.3">
      <c r="A6" t="s">
        <v>3</v>
      </c>
    </row>
    <row r="7" spans="1:9" x14ac:dyDescent="0.3">
      <c r="A7" t="s">
        <v>4</v>
      </c>
    </row>
    <row r="9" spans="1:9" x14ac:dyDescent="0.3">
      <c r="A9" t="s">
        <v>5</v>
      </c>
    </row>
    <row r="10" spans="1:9" x14ac:dyDescent="0.3">
      <c r="A10" t="s">
        <v>10</v>
      </c>
    </row>
    <row r="12" spans="1:9" x14ac:dyDescent="0.3">
      <c r="A12" t="s">
        <v>11</v>
      </c>
      <c r="B12">
        <v>4.93</v>
      </c>
      <c r="F12" t="s">
        <v>11</v>
      </c>
      <c r="G12">
        <v>-1.6</v>
      </c>
    </row>
    <row r="13" spans="1:9" x14ac:dyDescent="0.3">
      <c r="A13" t="s">
        <v>6</v>
      </c>
      <c r="B13">
        <v>150</v>
      </c>
      <c r="F13" t="s">
        <v>7</v>
      </c>
      <c r="G13">
        <v>150</v>
      </c>
    </row>
    <row r="14" spans="1:9" x14ac:dyDescent="0.3">
      <c r="A14" t="s">
        <v>8</v>
      </c>
      <c r="B14">
        <v>1.3</v>
      </c>
      <c r="F14" t="s">
        <v>9</v>
      </c>
      <c r="G14">
        <v>2</v>
      </c>
    </row>
    <row r="15" spans="1:9" x14ac:dyDescent="0.3">
      <c r="A15" t="s">
        <v>12</v>
      </c>
      <c r="B15">
        <f>B14/SUM(B13:B14)*1000*B12</f>
        <v>42.359550561797747</v>
      </c>
      <c r="C15" t="s">
        <v>14</v>
      </c>
      <c r="F15" t="s">
        <v>12</v>
      </c>
      <c r="G15">
        <f>G14/SUM(G13:G14)*1000*G12</f>
        <v>-21.05263157894737</v>
      </c>
      <c r="I15" t="s">
        <v>13</v>
      </c>
    </row>
    <row r="17" spans="1:14" x14ac:dyDescent="0.3">
      <c r="B17" t="s">
        <v>15</v>
      </c>
    </row>
    <row r="19" spans="1:14" x14ac:dyDescent="0.3">
      <c r="A19" t="s">
        <v>16</v>
      </c>
    </row>
    <row r="23" spans="1:14" x14ac:dyDescent="0.3">
      <c r="N23" t="s">
        <v>17</v>
      </c>
    </row>
    <row r="43" spans="15:15" x14ac:dyDescent="0.3">
      <c r="O43" t="s">
        <v>18</v>
      </c>
    </row>
    <row r="44" spans="15:15" x14ac:dyDescent="0.3">
      <c r="O44" t="s">
        <v>19</v>
      </c>
    </row>
    <row r="45" spans="15:15" x14ac:dyDescent="0.3">
      <c r="O45" t="s">
        <v>20</v>
      </c>
    </row>
    <row r="65" spans="1:1" x14ac:dyDescent="0.3">
      <c r="A65" t="s">
        <v>79</v>
      </c>
    </row>
    <row r="66" spans="1:1" x14ac:dyDescent="0.3">
      <c r="A66" t="s">
        <v>80</v>
      </c>
    </row>
    <row r="67" spans="1:1" x14ac:dyDescent="0.3">
      <c r="A67" t="s">
        <v>81</v>
      </c>
    </row>
    <row r="69" spans="1:1" x14ac:dyDescent="0.3">
      <c r="A69" t="s">
        <v>82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170C6-BB5D-41FA-BC7C-9A4CA1EA4CF4}">
  <dimension ref="A1:V158"/>
  <sheetViews>
    <sheetView topLeftCell="A143" workbookViewId="0">
      <selection activeCell="A159" sqref="A159"/>
    </sheetView>
  </sheetViews>
  <sheetFormatPr defaultRowHeight="14.4" x14ac:dyDescent="0.3"/>
  <sheetData>
    <row r="1" spans="2:17" x14ac:dyDescent="0.3">
      <c r="B1" t="s">
        <v>21</v>
      </c>
    </row>
    <row r="2" spans="2:17" x14ac:dyDescent="0.3">
      <c r="B2" t="s">
        <v>22</v>
      </c>
    </row>
    <row r="4" spans="2:17" x14ac:dyDescent="0.3">
      <c r="B4" t="s">
        <v>34</v>
      </c>
    </row>
    <row r="8" spans="2:17" x14ac:dyDescent="0.3">
      <c r="Q8" t="s">
        <v>23</v>
      </c>
    </row>
    <row r="9" spans="2:17" x14ac:dyDescent="0.3">
      <c r="Q9" t="s">
        <v>24</v>
      </c>
    </row>
    <row r="37" spans="16:22" x14ac:dyDescent="0.3">
      <c r="P37" t="s">
        <v>25</v>
      </c>
    </row>
    <row r="38" spans="16:22" x14ac:dyDescent="0.3">
      <c r="P38" t="s">
        <v>26</v>
      </c>
    </row>
    <row r="40" spans="16:22" x14ac:dyDescent="0.3">
      <c r="P40" t="s">
        <v>27</v>
      </c>
    </row>
    <row r="43" spans="16:22" x14ac:dyDescent="0.3">
      <c r="P43" t="s">
        <v>47</v>
      </c>
    </row>
    <row r="44" spans="16:22" x14ac:dyDescent="0.3">
      <c r="P44" t="s">
        <v>48</v>
      </c>
    </row>
    <row r="46" spans="16:22" x14ac:dyDescent="0.3">
      <c r="P46">
        <v>150</v>
      </c>
      <c r="V46" t="s">
        <v>56</v>
      </c>
    </row>
    <row r="47" spans="16:22" x14ac:dyDescent="0.3">
      <c r="P47">
        <v>0.68</v>
      </c>
      <c r="R47">
        <f>P47/SUM(P46:P47)*4.95*1000</f>
        <v>22.338731085744627</v>
      </c>
      <c r="S47" t="s">
        <v>49</v>
      </c>
      <c r="V47">
        <f>14.5/R47</f>
        <v>0.64909685086155666</v>
      </c>
    </row>
    <row r="49" spans="1:22" x14ac:dyDescent="0.3">
      <c r="P49" t="s">
        <v>50</v>
      </c>
    </row>
    <row r="50" spans="1:22" x14ac:dyDescent="0.3">
      <c r="P50" t="s">
        <v>51</v>
      </c>
    </row>
    <row r="52" spans="1:22" x14ac:dyDescent="0.3">
      <c r="P52">
        <v>4.96</v>
      </c>
      <c r="Q52" t="s">
        <v>52</v>
      </c>
    </row>
    <row r="53" spans="1:22" x14ac:dyDescent="0.3">
      <c r="P53">
        <v>150</v>
      </c>
      <c r="Q53" t="s">
        <v>53</v>
      </c>
    </row>
    <row r="54" spans="1:22" x14ac:dyDescent="0.3">
      <c r="P54">
        <v>1</v>
      </c>
      <c r="Q54" t="s">
        <v>54</v>
      </c>
      <c r="R54">
        <f>P54/SUM(P53:P54)*P52*1000</f>
        <v>32.847682119205295</v>
      </c>
      <c r="S54" t="s">
        <v>55</v>
      </c>
      <c r="V54">
        <f>R54*V47</f>
        <v>21.321327021677622</v>
      </c>
    </row>
    <row r="60" spans="1:22" x14ac:dyDescent="0.3">
      <c r="A60" t="s">
        <v>28</v>
      </c>
    </row>
    <row r="63" spans="1:22" x14ac:dyDescent="0.3">
      <c r="P63" t="s">
        <v>29</v>
      </c>
    </row>
    <row r="64" spans="1:22" x14ac:dyDescent="0.3">
      <c r="P64" t="s">
        <v>30</v>
      </c>
    </row>
    <row r="65" spans="16:17" x14ac:dyDescent="0.3">
      <c r="P65" t="s">
        <v>31</v>
      </c>
    </row>
    <row r="67" spans="16:17" x14ac:dyDescent="0.3">
      <c r="P67" t="s">
        <v>41</v>
      </c>
    </row>
    <row r="68" spans="16:17" x14ac:dyDescent="0.3">
      <c r="P68" t="s">
        <v>42</v>
      </c>
    </row>
    <row r="69" spans="16:17" x14ac:dyDescent="0.3">
      <c r="P69" t="s">
        <v>43</v>
      </c>
    </row>
    <row r="71" spans="16:17" x14ac:dyDescent="0.3">
      <c r="P71" t="s">
        <v>44</v>
      </c>
    </row>
    <row r="72" spans="16:17" x14ac:dyDescent="0.3">
      <c r="P72" t="s">
        <v>45</v>
      </c>
    </row>
    <row r="73" spans="16:17" x14ac:dyDescent="0.3">
      <c r="P73" t="s">
        <v>46</v>
      </c>
    </row>
    <row r="80" spans="16:17" x14ac:dyDescent="0.3">
      <c r="Q80" t="s">
        <v>32</v>
      </c>
    </row>
    <row r="81" spans="17:17" x14ac:dyDescent="0.3">
      <c r="Q81" t="s">
        <v>33</v>
      </c>
    </row>
    <row r="98" spans="1:19" x14ac:dyDescent="0.3">
      <c r="A98" t="s">
        <v>57</v>
      </c>
    </row>
    <row r="101" spans="1:19" x14ac:dyDescent="0.3">
      <c r="N101" t="s">
        <v>58</v>
      </c>
      <c r="R101">
        <f>1/151*4.95*1000</f>
        <v>32.78145695364239</v>
      </c>
      <c r="S101" t="s">
        <v>59</v>
      </c>
    </row>
    <row r="102" spans="1:19" x14ac:dyDescent="0.3">
      <c r="N102" t="s">
        <v>65</v>
      </c>
      <c r="S102" t="s">
        <v>60</v>
      </c>
    </row>
    <row r="104" spans="1:19" x14ac:dyDescent="0.3">
      <c r="N104" t="s">
        <v>66</v>
      </c>
    </row>
    <row r="105" spans="1:19" x14ac:dyDescent="0.3">
      <c r="N105" t="s">
        <v>67</v>
      </c>
    </row>
    <row r="107" spans="1:19" x14ac:dyDescent="0.3">
      <c r="N107" t="s">
        <v>68</v>
      </c>
    </row>
    <row r="109" spans="1:19" x14ac:dyDescent="0.3">
      <c r="N109" t="s">
        <v>69</v>
      </c>
    </row>
    <row r="110" spans="1:19" x14ac:dyDescent="0.3">
      <c r="N110" t="s">
        <v>70</v>
      </c>
    </row>
    <row r="112" spans="1:19" x14ac:dyDescent="0.3">
      <c r="N112">
        <v>150</v>
      </c>
      <c r="P112">
        <v>4.95</v>
      </c>
    </row>
    <row r="113" spans="1:21" x14ac:dyDescent="0.3">
      <c r="N113">
        <v>1000</v>
      </c>
      <c r="P113">
        <f>N113/SUM(N112:N113)*P112*1000</f>
        <v>4304.347826086957</v>
      </c>
      <c r="R113" t="s">
        <v>71</v>
      </c>
      <c r="T113">
        <v>600</v>
      </c>
    </row>
    <row r="114" spans="1:21" x14ac:dyDescent="0.3">
      <c r="R114" t="s">
        <v>72</v>
      </c>
    </row>
    <row r="115" spans="1:21" x14ac:dyDescent="0.3">
      <c r="R115" s="1">
        <v>1500</v>
      </c>
      <c r="T115">
        <f>1/(N113^-1+R115^-1)</f>
        <v>600</v>
      </c>
    </row>
    <row r="117" spans="1:21" x14ac:dyDescent="0.3">
      <c r="N117" t="s">
        <v>74</v>
      </c>
      <c r="R117">
        <f>20/R115</f>
        <v>1.3333333333333334E-2</v>
      </c>
      <c r="S117" t="s">
        <v>75</v>
      </c>
      <c r="T117">
        <f>R117*1000</f>
        <v>13.333333333333334</v>
      </c>
      <c r="U117" t="s">
        <v>76</v>
      </c>
    </row>
    <row r="119" spans="1:21" x14ac:dyDescent="0.3">
      <c r="N119" t="s">
        <v>73</v>
      </c>
    </row>
    <row r="127" spans="1:21" x14ac:dyDescent="0.3">
      <c r="A127" t="s">
        <v>61</v>
      </c>
    </row>
    <row r="129" spans="15:15" x14ac:dyDescent="0.3">
      <c r="O129" t="s">
        <v>62</v>
      </c>
    </row>
    <row r="131" spans="15:15" x14ac:dyDescent="0.3">
      <c r="O131" t="s">
        <v>63</v>
      </c>
    </row>
    <row r="132" spans="15:15" x14ac:dyDescent="0.3">
      <c r="O132" t="s">
        <v>64</v>
      </c>
    </row>
    <row r="155" spans="1:13" x14ac:dyDescent="0.3">
      <c r="A155" t="s">
        <v>77</v>
      </c>
    </row>
    <row r="157" spans="1:13" x14ac:dyDescent="0.3">
      <c r="A157">
        <v>36</v>
      </c>
      <c r="D157">
        <v>4.95</v>
      </c>
      <c r="K157">
        <v>150</v>
      </c>
      <c r="M157">
        <f>1/(K157^-1+K158^-1)</f>
        <v>35.786802030456855</v>
      </c>
    </row>
    <row r="158" spans="1:13" x14ac:dyDescent="0.3">
      <c r="A158">
        <v>0.68</v>
      </c>
      <c r="D158">
        <f>A158/SUM(A157:A158)*1000</f>
        <v>18.538713195201744</v>
      </c>
      <c r="E158" t="s">
        <v>78</v>
      </c>
      <c r="K158">
        <v>47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2597-1DB3-4841-B39D-7D6361618949}">
  <dimension ref="B1:B8"/>
  <sheetViews>
    <sheetView workbookViewId="0">
      <selection activeCell="B8" sqref="B8"/>
    </sheetView>
  </sheetViews>
  <sheetFormatPr defaultRowHeight="14.4" x14ac:dyDescent="0.3"/>
  <sheetData>
    <row r="1" spans="2:2" x14ac:dyDescent="0.3">
      <c r="B1" t="s">
        <v>35</v>
      </c>
    </row>
    <row r="3" spans="2:2" x14ac:dyDescent="0.3">
      <c r="B3" t="s">
        <v>36</v>
      </c>
    </row>
    <row r="4" spans="2:2" x14ac:dyDescent="0.3">
      <c r="B4" t="s">
        <v>37</v>
      </c>
    </row>
    <row r="6" spans="2:2" x14ac:dyDescent="0.3">
      <c r="B6" t="s">
        <v>38</v>
      </c>
    </row>
    <row r="7" spans="2:2" x14ac:dyDescent="0.3">
      <c r="B7" t="s">
        <v>39</v>
      </c>
    </row>
    <row r="8" spans="2:2" x14ac:dyDescent="0.3">
      <c r="B8"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9383D-88BE-420E-BB3E-253D152945CD}">
  <dimension ref="C3:P94"/>
  <sheetViews>
    <sheetView topLeftCell="A24" workbookViewId="0">
      <selection activeCell="R70" sqref="R70"/>
    </sheetView>
  </sheetViews>
  <sheetFormatPr defaultRowHeight="14.4" x14ac:dyDescent="0.3"/>
  <sheetData>
    <row r="3" spans="15:16" x14ac:dyDescent="0.3">
      <c r="O3" t="s">
        <v>83</v>
      </c>
    </row>
    <row r="5" spans="15:16" x14ac:dyDescent="0.3">
      <c r="O5" t="s">
        <v>84</v>
      </c>
    </row>
    <row r="8" spans="15:16" x14ac:dyDescent="0.3">
      <c r="O8" t="s">
        <v>88</v>
      </c>
    </row>
    <row r="11" spans="15:16" x14ac:dyDescent="0.3">
      <c r="O11" t="s">
        <v>89</v>
      </c>
    </row>
    <row r="12" spans="15:16" x14ac:dyDescent="0.3">
      <c r="O12" t="s">
        <v>90</v>
      </c>
      <c r="P12" t="s">
        <v>91</v>
      </c>
    </row>
    <row r="13" spans="15:16" x14ac:dyDescent="0.3">
      <c r="O13" t="s">
        <v>92</v>
      </c>
      <c r="P13" s="2" t="s">
        <v>93</v>
      </c>
    </row>
    <row r="15" spans="15:16" x14ac:dyDescent="0.3">
      <c r="O15" t="s">
        <v>94</v>
      </c>
    </row>
    <row r="16" spans="15:16" x14ac:dyDescent="0.3">
      <c r="P16" t="s">
        <v>95</v>
      </c>
    </row>
    <row r="17" spans="15:16" x14ac:dyDescent="0.3">
      <c r="O17" t="s">
        <v>97</v>
      </c>
      <c r="P17" s="2" t="s">
        <v>96</v>
      </c>
    </row>
    <row r="26" spans="15:16" x14ac:dyDescent="0.3">
      <c r="P26" t="s">
        <v>85</v>
      </c>
    </row>
    <row r="28" spans="15:16" x14ac:dyDescent="0.3">
      <c r="P28" t="s">
        <v>86</v>
      </c>
    </row>
    <row r="29" spans="15:16" x14ac:dyDescent="0.3">
      <c r="P29" t="s">
        <v>87</v>
      </c>
    </row>
    <row r="94" spans="3:3" x14ac:dyDescent="0.3">
      <c r="C94" t="s">
        <v>98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5C3F-6B4E-46CD-B85C-BBB5F4FFB8F4}">
  <dimension ref="A1:A7"/>
  <sheetViews>
    <sheetView tabSelected="1" workbookViewId="0">
      <selection sqref="A1:A7"/>
    </sheetView>
  </sheetViews>
  <sheetFormatPr defaultRowHeight="14.4" x14ac:dyDescent="0.3"/>
  <sheetData>
    <row r="1" spans="1:1" x14ac:dyDescent="0.3">
      <c r="A1" s="3" t="s">
        <v>99</v>
      </c>
    </row>
    <row r="2" spans="1:1" x14ac:dyDescent="0.3">
      <c r="A2" s="3" t="s">
        <v>100</v>
      </c>
    </row>
    <row r="3" spans="1:1" x14ac:dyDescent="0.3">
      <c r="A3" s="3" t="s">
        <v>101</v>
      </c>
    </row>
    <row r="5" spans="1:1" x14ac:dyDescent="0.3">
      <c r="A5" s="3" t="s">
        <v>102</v>
      </c>
    </row>
    <row r="7" spans="1:1" x14ac:dyDescent="0.3">
      <c r="A7" s="3" t="s">
        <v>103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Red PCB</vt:lpstr>
      <vt:lpstr>Blue PCB free</vt:lpstr>
      <vt:lpstr>Blue PCB built</vt:lpstr>
      <vt:lpstr>LM393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Ossowski</dc:creator>
  <cp:lastModifiedBy>Julian Ossowski</cp:lastModifiedBy>
  <dcterms:created xsi:type="dcterms:W3CDTF">2015-06-05T18:17:20Z</dcterms:created>
  <dcterms:modified xsi:type="dcterms:W3CDTF">2024-12-10T11:24:20Z</dcterms:modified>
</cp:coreProperties>
</file>